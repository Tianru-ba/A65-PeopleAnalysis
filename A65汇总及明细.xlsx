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na.chen1\Desktop\Tina\Trae\Project -人力成本\A65\"/>
    </mc:Choice>
  </mc:AlternateContent>
  <xr:revisionPtr revIDLastSave="0" documentId="13_ncr:1_{77994371-9B21-4A97-B15C-07D10E1FFEC5}" xr6:coauthVersionLast="47" xr6:coauthVersionMax="47" xr10:uidLastSave="{00000000-0000-0000-0000-000000000000}"/>
  <bookViews>
    <workbookView xWindow="-98" yWindow="-98" windowWidth="21795" windowHeight="12975" activeTab="2" xr2:uid="{53AA8836-6C08-40A7-B403-CF91A43BAF96}"/>
  </bookViews>
  <sheets>
    <sheet name="汇总 " sheetId="4" r:id="rId1"/>
    <sheet name="明细" sheetId="5" r:id="rId2"/>
    <sheet name="预测明细" sheetId="6" r:id="rId3"/>
  </sheets>
  <definedNames>
    <definedName name="_xlnm._FilterDatabase" localSheetId="1" hidden="1">明细!$A$1:$K$39</definedName>
    <definedName name="_xlnm._FilterDatabase" localSheetId="2" hidden="1">预测明细!$A$1:$I$1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5" l="1"/>
  <c r="O3" i="5"/>
  <c r="P3" i="5"/>
  <c r="M3" i="5"/>
  <c r="N4" i="5"/>
  <c r="O4" i="5"/>
  <c r="P4" i="5"/>
  <c r="M4" i="5"/>
  <c r="N5" i="5"/>
  <c r="O5" i="5"/>
  <c r="P5" i="5"/>
  <c r="M5" i="5"/>
  <c r="N6" i="5"/>
  <c r="O6" i="5"/>
  <c r="P6" i="5"/>
  <c r="M6" i="5"/>
  <c r="N7" i="5"/>
  <c r="O7" i="5"/>
  <c r="P7" i="5"/>
  <c r="M7" i="5"/>
  <c r="N8" i="5"/>
  <c r="O8" i="5"/>
  <c r="P8" i="5"/>
  <c r="M8" i="5"/>
  <c r="N9" i="5"/>
  <c r="O9" i="5"/>
  <c r="P9" i="5"/>
  <c r="M9" i="5"/>
  <c r="N10" i="5"/>
  <c r="O10" i="5"/>
  <c r="P10" i="5"/>
  <c r="M10" i="5"/>
  <c r="N11" i="5"/>
  <c r="O11" i="5"/>
  <c r="P11" i="5"/>
  <c r="M11" i="5"/>
  <c r="N12" i="5"/>
  <c r="O12" i="5"/>
  <c r="P12" i="5"/>
  <c r="M12" i="5"/>
  <c r="N13" i="5"/>
  <c r="O13" i="5"/>
  <c r="P13" i="5"/>
  <c r="M13" i="5"/>
  <c r="N14" i="5"/>
  <c r="O14" i="5"/>
  <c r="P14" i="5"/>
  <c r="M14" i="5"/>
  <c r="N15" i="5"/>
  <c r="O15" i="5"/>
  <c r="P15" i="5"/>
  <c r="M15" i="5"/>
  <c r="N16" i="5"/>
  <c r="O16" i="5"/>
  <c r="P16" i="5"/>
  <c r="M16" i="5"/>
  <c r="N17" i="5"/>
  <c r="O17" i="5"/>
  <c r="P17" i="5"/>
  <c r="M17" i="5"/>
  <c r="N18" i="5"/>
  <c r="O18" i="5"/>
  <c r="P18" i="5"/>
  <c r="M18" i="5"/>
  <c r="N19" i="5"/>
  <c r="O19" i="5"/>
  <c r="P19" i="5"/>
  <c r="M19" i="5"/>
  <c r="N20" i="5"/>
  <c r="O20" i="5"/>
  <c r="P20" i="5"/>
  <c r="M20" i="5"/>
  <c r="N21" i="5"/>
  <c r="O21" i="5"/>
  <c r="P21" i="5"/>
  <c r="M21" i="5"/>
  <c r="N22" i="5"/>
  <c r="O22" i="5"/>
  <c r="P22" i="5"/>
  <c r="M22" i="5"/>
  <c r="N23" i="5"/>
  <c r="O23" i="5"/>
  <c r="P23" i="5"/>
  <c r="M23" i="5"/>
  <c r="N24" i="5"/>
  <c r="O24" i="5"/>
  <c r="P24" i="5"/>
  <c r="M24" i="5"/>
  <c r="N25" i="5"/>
  <c r="O25" i="5"/>
  <c r="P25" i="5"/>
  <c r="M25" i="5"/>
  <c r="N26" i="5"/>
  <c r="O26" i="5"/>
  <c r="P26" i="5"/>
  <c r="M26" i="5"/>
  <c r="N27" i="5"/>
  <c r="O27" i="5"/>
  <c r="P27" i="5"/>
  <c r="M27" i="5"/>
  <c r="N28" i="5"/>
  <c r="O28" i="5"/>
  <c r="P28" i="5"/>
  <c r="M28" i="5"/>
  <c r="N29" i="5"/>
  <c r="O29" i="5"/>
  <c r="P29" i="5"/>
  <c r="M29" i="5"/>
  <c r="N30" i="5"/>
  <c r="O30" i="5"/>
  <c r="P30" i="5"/>
  <c r="M30" i="5"/>
  <c r="N31" i="5"/>
  <c r="O31" i="5"/>
  <c r="P31" i="5"/>
  <c r="M31" i="5"/>
  <c r="N32" i="5"/>
  <c r="O32" i="5"/>
  <c r="P32" i="5"/>
  <c r="M32" i="5"/>
  <c r="N33" i="5"/>
  <c r="O33" i="5"/>
  <c r="P33" i="5"/>
  <c r="M33" i="5"/>
  <c r="N34" i="5"/>
  <c r="O34" i="5"/>
  <c r="P34" i="5"/>
  <c r="M34" i="5"/>
  <c r="N35" i="5"/>
  <c r="O35" i="5"/>
  <c r="P35" i="5"/>
  <c r="M35" i="5"/>
  <c r="N36" i="5"/>
  <c r="O36" i="5"/>
  <c r="P36" i="5"/>
  <c r="M36" i="5"/>
  <c r="N37" i="5"/>
  <c r="O37" i="5"/>
  <c r="P37" i="5"/>
  <c r="M37" i="5"/>
  <c r="N38" i="5"/>
  <c r="O38" i="5"/>
  <c r="P38" i="5"/>
  <c r="M38" i="5"/>
  <c r="N39" i="5"/>
  <c r="O39" i="5"/>
  <c r="P39" i="5"/>
  <c r="M39" i="5"/>
  <c r="N2" i="5"/>
  <c r="O2" i="5"/>
  <c r="P2" i="5"/>
  <c r="M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2" i="5"/>
  <c r="Z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B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陈天如</author>
  </authors>
  <commentList>
    <comment ref="J7" authorId="0" shapeId="0" xr:uid="{9A1F9936-0105-44D2-BB6D-31E0826608E4}">
      <text>
        <r>
          <rPr>
            <sz val="9"/>
            <color indexed="81"/>
            <rFont val="宋体"/>
            <family val="3"/>
            <charset val="134"/>
          </rPr>
          <t xml:space="preserve">入职2人Adrian-GM、His-产品经理
</t>
        </r>
      </text>
    </comment>
    <comment ref="L7" authorId="0" shapeId="0" xr:uid="{C9BB58BF-BCBD-4210-ADB9-9F61512F76D1}">
      <text>
        <r>
          <rPr>
            <sz val="9"/>
            <color indexed="81"/>
            <rFont val="宋体"/>
            <family val="3"/>
            <charset val="134"/>
          </rPr>
          <t xml:space="preserve">入职1人，Lim Lee Ping-sales
</t>
        </r>
      </text>
    </comment>
    <comment ref="N7" authorId="0" shapeId="0" xr:uid="{C07C558E-A3F8-4AC3-9829-E58571B6672E}">
      <text>
        <r>
          <rPr>
            <b/>
            <sz val="9"/>
            <color indexed="81"/>
            <rFont val="宋体"/>
            <family val="3"/>
            <charset val="134"/>
          </rPr>
          <t xml:space="preserve">入职1人，John Lee-  </t>
        </r>
        <r>
          <rPr>
            <sz val="9"/>
            <color indexed="81"/>
            <rFont val="宋体"/>
            <family val="3"/>
            <charset val="134"/>
          </rPr>
          <t xml:space="preserve">
CSM</t>
        </r>
      </text>
    </comment>
  </commentList>
</comments>
</file>

<file path=xl/sharedStrings.xml><?xml version="1.0" encoding="utf-8"?>
<sst xmlns="http://schemas.openxmlformats.org/spreadsheetml/2006/main" count="240" uniqueCount="51">
  <si>
    <t>---固定薪酬</t>
  </si>
  <si>
    <t>---奖金</t>
  </si>
  <si>
    <t>---即时激励</t>
  </si>
  <si>
    <t>人力成本合计(USD)</t>
    <phoneticPr fontId="1" type="noConversion"/>
  </si>
  <si>
    <t xml:space="preserve"> </t>
  </si>
  <si>
    <t>当月汇率（SGD对USD）</t>
    <phoneticPr fontId="1" type="noConversion"/>
  </si>
  <si>
    <t>汇总</t>
    <phoneticPr fontId="1" type="noConversion"/>
  </si>
  <si>
    <t>预测数据</t>
    <phoneticPr fontId="1" type="noConversion"/>
  </si>
  <si>
    <t>2026/1/1(发的25年奖金OTE）</t>
    <phoneticPr fontId="1" type="noConversion"/>
  </si>
  <si>
    <t>已发生数据</t>
    <phoneticPr fontId="1" type="noConversion"/>
  </si>
  <si>
    <t>姓名</t>
  </si>
  <si>
    <t>所属项目</t>
  </si>
  <si>
    <t>职能分类</t>
  </si>
  <si>
    <t>具体岗位</t>
  </si>
  <si>
    <t>A65</t>
  </si>
  <si>
    <t>HU ZHENGYUAN</t>
  </si>
  <si>
    <t>ADRIAN</t>
  </si>
  <si>
    <t>Hsi Chen</t>
  </si>
  <si>
    <t>Lim Lee Ping</t>
    <phoneticPr fontId="11" type="noConversion"/>
  </si>
  <si>
    <t>Lim Lee Ping</t>
  </si>
  <si>
    <t>John Lee</t>
    <phoneticPr fontId="11" type="noConversion"/>
  </si>
  <si>
    <t>John Lee</t>
  </si>
  <si>
    <t>Harris</t>
  </si>
  <si>
    <t>发的25年奖金绩效</t>
    <phoneticPr fontId="1" type="noConversion"/>
  </si>
  <si>
    <t>Nick</t>
  </si>
  <si>
    <t>GM</t>
    <phoneticPr fontId="1" type="noConversion"/>
  </si>
  <si>
    <t>CEO</t>
    <phoneticPr fontId="1" type="noConversion"/>
  </si>
  <si>
    <t>产品经理</t>
    <phoneticPr fontId="1" type="noConversion"/>
  </si>
  <si>
    <t>综合岗</t>
    <phoneticPr fontId="1" type="noConversion"/>
  </si>
  <si>
    <t>office manager</t>
    <phoneticPr fontId="1" type="noConversion"/>
  </si>
  <si>
    <t>client success manager</t>
    <phoneticPr fontId="1" type="noConversion"/>
  </si>
  <si>
    <t>senior sales director</t>
    <phoneticPr fontId="1" type="noConversion"/>
  </si>
  <si>
    <t>BD&amp;CM</t>
    <phoneticPr fontId="1" type="noConversion"/>
  </si>
  <si>
    <t>PO</t>
    <phoneticPr fontId="1" type="noConversion"/>
  </si>
  <si>
    <t>Digital Product Manager</t>
  </si>
  <si>
    <t>固定薪资(SGD)</t>
    <phoneticPr fontId="1" type="noConversion"/>
  </si>
  <si>
    <t>奖金/激励(SGD)</t>
    <phoneticPr fontId="1" type="noConversion"/>
  </si>
  <si>
    <t>备注</t>
    <phoneticPr fontId="1" type="noConversion"/>
  </si>
  <si>
    <t>即时激励(SGD)</t>
    <phoneticPr fontId="1" type="noConversion"/>
  </si>
  <si>
    <t>固定薪资(USD)</t>
    <phoneticPr fontId="1" type="noConversion"/>
  </si>
  <si>
    <t>奖金/激励(USD)</t>
    <phoneticPr fontId="1" type="noConversion"/>
  </si>
  <si>
    <t>即时激励(USD)</t>
    <phoneticPr fontId="1" type="noConversion"/>
  </si>
  <si>
    <t>每月总人力(SGD)</t>
    <phoneticPr fontId="1" type="noConversion"/>
  </si>
  <si>
    <t>统计年月</t>
    <phoneticPr fontId="1" type="noConversion"/>
  </si>
  <si>
    <t>岗位性质</t>
    <phoneticPr fontId="1" type="noConversion"/>
  </si>
  <si>
    <t>全职</t>
    <phoneticPr fontId="1" type="noConversion"/>
  </si>
  <si>
    <t>每月总人力(USD)</t>
    <phoneticPr fontId="1" type="noConversion"/>
  </si>
  <si>
    <t>A65直接人数合计</t>
    <phoneticPr fontId="1" type="noConversion"/>
  </si>
  <si>
    <t>A65</t>
    <phoneticPr fontId="1" type="noConversion"/>
  </si>
  <si>
    <t>人数</t>
    <phoneticPr fontId="1" type="noConversion"/>
  </si>
  <si>
    <t>预估汇率（SGD对USD）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</si>
</sst>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Arial"/>
      <family val="2"/>
    </font>
    <font>
      <b/>
      <sz val="10"/>
      <color theme="1"/>
      <name val="微软雅黑"/>
      <family val="2"/>
      <charset val="134"/>
    </font>
    <font>
      <sz val="10"/>
      <color rgb="FF1F1F1F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1F1F1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57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57" fontId="4" fillId="0" borderId="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 readingOrder="1"/>
    </xf>
    <xf numFmtId="14" fontId="1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 wrapText="1" readingOrder="1"/>
    </xf>
    <xf numFmtId="0" fontId="16" fillId="0" borderId="1" xfId="0" applyFont="1" applyFill="1" applyBorder="1" applyAlignment="1">
      <alignment horizontal="center" vertical="center" wrapText="1" readingOrder="1"/>
    </xf>
    <xf numFmtId="14" fontId="14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9DA6-4437-414F-A145-FFB1ED182227}">
  <dimension ref="A1:Z10"/>
  <sheetViews>
    <sheetView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R9" sqref="R9:Z9"/>
    </sheetView>
  </sheetViews>
  <sheetFormatPr defaultColWidth="12.59765625" defaultRowHeight="13.9" x14ac:dyDescent="0.4"/>
  <cols>
    <col min="1" max="1" width="12.59765625" style="7"/>
    <col min="2" max="2" width="25.9296875" style="7" customWidth="1"/>
    <col min="3" max="3" width="10.265625" style="7" customWidth="1"/>
    <col min="4" max="5" width="10.53125" style="7" customWidth="1"/>
    <col min="6" max="6" width="10.3984375" style="7" customWidth="1"/>
    <col min="7" max="7" width="10.73046875" style="7" customWidth="1"/>
    <col min="8" max="8" width="10.1328125" style="7" customWidth="1"/>
    <col min="9" max="16384" width="12.59765625" style="7"/>
  </cols>
  <sheetData>
    <row r="1" spans="1:26" x14ac:dyDescent="0.4">
      <c r="I1" s="23" t="s">
        <v>9</v>
      </c>
      <c r="J1" s="23"/>
      <c r="K1" s="23"/>
      <c r="L1" s="23"/>
      <c r="M1" s="23"/>
      <c r="N1" s="23"/>
      <c r="O1" s="23"/>
      <c r="P1" s="23"/>
      <c r="Q1" s="23"/>
      <c r="R1" s="23" t="s">
        <v>7</v>
      </c>
      <c r="S1" s="23"/>
      <c r="T1" s="23"/>
      <c r="U1" s="23"/>
      <c r="V1" s="23"/>
      <c r="W1" s="23"/>
      <c r="X1" s="23"/>
      <c r="Y1" s="23"/>
      <c r="Z1" s="23"/>
    </row>
    <row r="2" spans="1:26" s="1" customFormat="1" ht="12" customHeight="1" x14ac:dyDescent="0.4">
      <c r="B2" s="3"/>
      <c r="C2" s="2">
        <v>45658</v>
      </c>
      <c r="D2" s="2">
        <v>45689</v>
      </c>
      <c r="E2" s="2">
        <v>45717</v>
      </c>
      <c r="F2" s="2">
        <v>45748</v>
      </c>
      <c r="G2" s="2">
        <v>45778</v>
      </c>
      <c r="H2" s="2">
        <v>45809</v>
      </c>
      <c r="I2" s="12">
        <v>45839</v>
      </c>
      <c r="J2" s="12">
        <v>45870</v>
      </c>
      <c r="K2" s="12">
        <v>45901</v>
      </c>
      <c r="L2" s="12">
        <v>45931</v>
      </c>
      <c r="M2" s="12">
        <v>45962</v>
      </c>
      <c r="N2" s="12">
        <v>45992</v>
      </c>
      <c r="O2" s="12" t="s">
        <v>8</v>
      </c>
      <c r="P2" s="12">
        <v>46054</v>
      </c>
      <c r="Q2" s="12">
        <v>46082</v>
      </c>
      <c r="R2" s="12">
        <v>46113</v>
      </c>
      <c r="S2" s="12">
        <v>46143</v>
      </c>
      <c r="T2" s="12">
        <v>46174</v>
      </c>
      <c r="U2" s="12">
        <v>46204</v>
      </c>
      <c r="V2" s="12">
        <v>46235</v>
      </c>
      <c r="W2" s="12">
        <v>46266</v>
      </c>
      <c r="X2" s="12">
        <v>46296</v>
      </c>
      <c r="Y2" s="12">
        <v>46327</v>
      </c>
      <c r="Z2" s="12">
        <v>46357</v>
      </c>
    </row>
    <row r="3" spans="1:26" s="6" customFormat="1" x14ac:dyDescent="0.4">
      <c r="B3" s="6" t="s">
        <v>5</v>
      </c>
      <c r="I3" s="6">
        <v>0.77357500000000001</v>
      </c>
      <c r="J3" s="6">
        <v>0.780698</v>
      </c>
      <c r="K3" s="6">
        <v>0.77589200000000003</v>
      </c>
      <c r="L3" s="6">
        <v>0.77052799999999999</v>
      </c>
      <c r="M3" s="6">
        <v>0.77115100000000003</v>
      </c>
      <c r="N3" s="6">
        <v>0.77660499999999999</v>
      </c>
      <c r="O3" s="6">
        <v>0.79022099999999995</v>
      </c>
      <c r="P3" s="6">
        <v>0.78708</v>
      </c>
      <c r="Q3" s="6">
        <v>0.77427199999999996</v>
      </c>
      <c r="R3" s="6">
        <v>0.76</v>
      </c>
      <c r="S3" s="6">
        <v>0.76</v>
      </c>
      <c r="T3" s="6">
        <v>0.76</v>
      </c>
      <c r="U3" s="6">
        <v>0.76</v>
      </c>
      <c r="V3" s="6">
        <v>0.76</v>
      </c>
      <c r="W3" s="6">
        <v>0.76</v>
      </c>
      <c r="X3" s="6">
        <v>0.76</v>
      </c>
      <c r="Y3" s="6">
        <v>0.76</v>
      </c>
      <c r="Z3" s="6">
        <v>0.76</v>
      </c>
    </row>
    <row r="4" spans="1:26" x14ac:dyDescent="0.4">
      <c r="B4" s="7" t="s">
        <v>47</v>
      </c>
      <c r="C4" s="7" t="s">
        <v>4</v>
      </c>
      <c r="I4" s="7">
        <v>1</v>
      </c>
      <c r="J4" s="7">
        <v>3</v>
      </c>
      <c r="K4" s="7">
        <v>3</v>
      </c>
      <c r="L4" s="7">
        <v>4</v>
      </c>
      <c r="M4" s="7">
        <v>4</v>
      </c>
      <c r="N4" s="7">
        <v>5</v>
      </c>
      <c r="O4" s="7">
        <v>6</v>
      </c>
      <c r="P4" s="7">
        <v>6</v>
      </c>
      <c r="Q4" s="7">
        <v>6</v>
      </c>
      <c r="R4" s="7">
        <v>8</v>
      </c>
      <c r="S4" s="7">
        <v>9</v>
      </c>
      <c r="T4" s="7">
        <v>15</v>
      </c>
      <c r="U4" s="7">
        <v>16</v>
      </c>
      <c r="V4" s="7">
        <v>16</v>
      </c>
      <c r="W4" s="7">
        <v>16</v>
      </c>
      <c r="X4" s="7">
        <v>16</v>
      </c>
      <c r="Y4" s="7">
        <v>16</v>
      </c>
      <c r="Z4" s="7">
        <v>16</v>
      </c>
    </row>
    <row r="5" spans="1:26" x14ac:dyDescent="0.4">
      <c r="C5" s="7" t="s">
        <v>4</v>
      </c>
    </row>
    <row r="6" spans="1:26" x14ac:dyDescent="0.4">
      <c r="B6" s="8" t="s">
        <v>3</v>
      </c>
      <c r="C6" s="11">
        <f>SUM(C7:C9)</f>
        <v>0</v>
      </c>
      <c r="D6" s="11">
        <f t="shared" ref="D6:Z6" si="0">SUM(D7:D9)</f>
        <v>0</v>
      </c>
      <c r="E6" s="11">
        <f t="shared" si="0"/>
        <v>0</v>
      </c>
      <c r="F6" s="11">
        <f t="shared" si="0"/>
        <v>0</v>
      </c>
      <c r="G6" s="11">
        <f t="shared" si="0"/>
        <v>0</v>
      </c>
      <c r="H6" s="11">
        <f t="shared" si="0"/>
        <v>0</v>
      </c>
      <c r="I6" s="11">
        <f t="shared" si="0"/>
        <v>1746.5779637693749</v>
      </c>
      <c r="J6" s="11">
        <f t="shared" si="0"/>
        <v>13933.84325514</v>
      </c>
      <c r="K6" s="11">
        <f t="shared" si="0"/>
        <v>23061.643942999999</v>
      </c>
      <c r="L6" s="11">
        <f t="shared" si="0"/>
        <v>24670.119262166401</v>
      </c>
      <c r="M6" s="11">
        <f t="shared" si="0"/>
        <v>30839.870792000002</v>
      </c>
      <c r="N6" s="11">
        <f t="shared" si="0"/>
        <v>36064.177141250002</v>
      </c>
      <c r="O6" s="11">
        <f t="shared" si="0"/>
        <v>112208</v>
      </c>
      <c r="P6" s="11">
        <f t="shared" si="0"/>
        <v>46437</v>
      </c>
      <c r="Q6" s="11">
        <f t="shared" si="0"/>
        <v>47815</v>
      </c>
      <c r="R6" s="11">
        <f t="shared" si="0"/>
        <v>88730</v>
      </c>
      <c r="S6" s="11">
        <f t="shared" si="0"/>
        <v>77083.19</v>
      </c>
      <c r="T6" s="11">
        <f t="shared" si="0"/>
        <v>97143.39</v>
      </c>
      <c r="U6" s="11">
        <f t="shared" si="0"/>
        <v>160783.19586666665</v>
      </c>
      <c r="V6" s="11">
        <f t="shared" si="0"/>
        <v>117489.54000000001</v>
      </c>
      <c r="W6" s="11">
        <f t="shared" si="0"/>
        <v>117489.54000000001</v>
      </c>
      <c r="X6" s="11">
        <f t="shared" si="0"/>
        <v>196790.98</v>
      </c>
      <c r="Y6" s="11">
        <f t="shared" si="0"/>
        <v>117489.54000000001</v>
      </c>
      <c r="Z6" s="11">
        <f t="shared" si="0"/>
        <v>230789.54</v>
      </c>
    </row>
    <row r="7" spans="1:26" x14ac:dyDescent="0.4">
      <c r="B7" s="10" t="s">
        <v>0</v>
      </c>
      <c r="C7" s="11"/>
      <c r="D7" s="11"/>
      <c r="E7" s="11"/>
      <c r="F7" s="11"/>
      <c r="G7" s="11"/>
      <c r="H7" s="11"/>
      <c r="I7" s="5">
        <v>1746.5779637693749</v>
      </c>
      <c r="J7" s="5">
        <v>13933.84325514</v>
      </c>
      <c r="K7" s="5">
        <v>23061.643942999999</v>
      </c>
      <c r="L7" s="5">
        <v>24670.119262166401</v>
      </c>
      <c r="M7" s="5">
        <v>30839.870792000002</v>
      </c>
      <c r="N7" s="5">
        <v>36064.177141250002</v>
      </c>
      <c r="O7" s="5">
        <v>83195</v>
      </c>
      <c r="P7" s="5">
        <v>46059</v>
      </c>
      <c r="Q7" s="5">
        <v>47815</v>
      </c>
      <c r="R7" s="5">
        <v>71402</v>
      </c>
      <c r="S7" s="5">
        <v>77083.19</v>
      </c>
      <c r="T7" s="5">
        <v>97143.39</v>
      </c>
      <c r="U7" s="5">
        <v>135348.52919999999</v>
      </c>
      <c r="V7" s="5">
        <v>117489.54000000001</v>
      </c>
      <c r="W7" s="5">
        <v>117489.54000000001</v>
      </c>
      <c r="X7" s="5">
        <v>151494.98000000001</v>
      </c>
      <c r="Y7" s="5">
        <v>117489.54000000001</v>
      </c>
      <c r="Z7" s="5">
        <v>117489.54000000001</v>
      </c>
    </row>
    <row r="8" spans="1:26" x14ac:dyDescent="0.4">
      <c r="B8" s="10" t="s">
        <v>1</v>
      </c>
      <c r="C8" s="11"/>
      <c r="D8" s="11"/>
      <c r="E8" s="11"/>
      <c r="F8" s="11"/>
      <c r="G8" s="11"/>
      <c r="H8" s="11"/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29013</v>
      </c>
      <c r="P8" s="5">
        <v>378</v>
      </c>
      <c r="Q8" s="5">
        <v>0</v>
      </c>
      <c r="R8" s="5">
        <v>17328</v>
      </c>
      <c r="S8" s="5">
        <v>0</v>
      </c>
      <c r="T8" s="5">
        <v>0</v>
      </c>
      <c r="U8" s="5">
        <v>25434.666666666664</v>
      </c>
      <c r="V8" s="5">
        <v>0</v>
      </c>
      <c r="W8" s="5">
        <v>0</v>
      </c>
      <c r="X8" s="5">
        <v>45296</v>
      </c>
      <c r="Y8" s="5">
        <v>0</v>
      </c>
      <c r="Z8" s="5">
        <v>113300</v>
      </c>
    </row>
    <row r="9" spans="1:26" x14ac:dyDescent="0.4">
      <c r="B9" s="10" t="s">
        <v>2</v>
      </c>
      <c r="C9" s="11"/>
      <c r="D9" s="11"/>
      <c r="E9" s="11"/>
      <c r="F9" s="11"/>
      <c r="G9" s="11"/>
      <c r="H9" s="11"/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</row>
    <row r="10" spans="1:26" ht="15.75" x14ac:dyDescent="0.4">
      <c r="A10" s="9" t="s">
        <v>6</v>
      </c>
      <c r="B10" s="4">
        <f>SUM(C6:Z6)</f>
        <v>1540565.1482239924</v>
      </c>
    </row>
  </sheetData>
  <mergeCells count="2">
    <mergeCell ref="R1:Z1"/>
    <mergeCell ref="I1:Q1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08C4-5506-49F2-B3C9-A3EC8DEE273F}">
  <dimension ref="A1:P39"/>
  <sheetViews>
    <sheetView workbookViewId="0">
      <pane xSplit="3" ySplit="1" topLeftCell="H23" activePane="bottomRight" state="frozen"/>
      <selection pane="topRight" activeCell="D1" sqref="D1"/>
      <selection pane="bottomLeft" activeCell="A2" sqref="A2"/>
      <selection pane="bottomRight" activeCell="A39" sqref="A39"/>
    </sheetView>
  </sheetViews>
  <sheetFormatPr defaultColWidth="15.59765625" defaultRowHeight="13.9" x14ac:dyDescent="0.4"/>
  <cols>
    <col min="1" max="1" width="15.59765625" style="22"/>
    <col min="2" max="2" width="18.9296875" style="14" customWidth="1"/>
    <col min="3" max="3" width="11.6640625" style="14" customWidth="1"/>
    <col min="4" max="7" width="15.59765625" style="14"/>
    <col min="8" max="8" width="15.9296875" style="14" customWidth="1"/>
    <col min="9" max="9" width="13.86328125" style="14" customWidth="1"/>
    <col min="10" max="10" width="11.53125" style="14" customWidth="1"/>
    <col min="11" max="11" width="10.86328125" style="14" customWidth="1"/>
    <col min="12" max="13" width="14" style="14" customWidth="1"/>
    <col min="14" max="16384" width="15.59765625" style="14"/>
  </cols>
  <sheetData>
    <row r="1" spans="1:16" s="17" customFormat="1" ht="29.25" x14ac:dyDescent="0.4">
      <c r="A1" s="21" t="s">
        <v>43</v>
      </c>
      <c r="B1" s="16" t="s">
        <v>10</v>
      </c>
      <c r="C1" s="16" t="s">
        <v>11</v>
      </c>
      <c r="D1" s="16" t="s">
        <v>12</v>
      </c>
      <c r="E1" s="16" t="s">
        <v>13</v>
      </c>
      <c r="F1" s="16" t="s">
        <v>42</v>
      </c>
      <c r="G1" s="16" t="s">
        <v>35</v>
      </c>
      <c r="H1" s="16" t="s">
        <v>36</v>
      </c>
      <c r="I1" s="16" t="s">
        <v>38</v>
      </c>
      <c r="J1" s="16" t="s">
        <v>44</v>
      </c>
      <c r="K1" s="17" t="s">
        <v>37</v>
      </c>
      <c r="L1" s="16" t="s">
        <v>5</v>
      </c>
      <c r="M1" s="16" t="s">
        <v>46</v>
      </c>
      <c r="N1" s="16" t="s">
        <v>39</v>
      </c>
      <c r="O1" s="16" t="s">
        <v>40</v>
      </c>
      <c r="P1" s="16" t="s">
        <v>41</v>
      </c>
    </row>
    <row r="2" spans="1:16" x14ac:dyDescent="0.4">
      <c r="A2" s="22">
        <v>45839</v>
      </c>
      <c r="B2" s="15" t="s">
        <v>15</v>
      </c>
      <c r="C2" s="13" t="s">
        <v>14</v>
      </c>
      <c r="D2" s="14" t="s">
        <v>28</v>
      </c>
      <c r="E2" s="14" t="s">
        <v>29</v>
      </c>
      <c r="F2" s="18">
        <f>SUM(G2:I2)</f>
        <v>2257.8004249999999</v>
      </c>
      <c r="G2" s="18">
        <v>2257.8004249999999</v>
      </c>
      <c r="H2" s="18">
        <v>0</v>
      </c>
      <c r="I2" s="18">
        <v>0</v>
      </c>
      <c r="J2" s="13" t="s">
        <v>45</v>
      </c>
      <c r="L2" s="19">
        <v>0.77357500000000001</v>
      </c>
      <c r="M2" s="20">
        <f>SUM(N2:P2)</f>
        <v>1746.5779637693749</v>
      </c>
      <c r="N2" s="18">
        <f>L2*G2</f>
        <v>1746.5779637693749</v>
      </c>
      <c r="O2" s="18">
        <f>H2*L2</f>
        <v>0</v>
      </c>
      <c r="P2" s="18">
        <f>I2*L2</f>
        <v>0</v>
      </c>
    </row>
    <row r="3" spans="1:16" x14ac:dyDescent="0.4">
      <c r="A3" s="22">
        <v>45870</v>
      </c>
      <c r="B3" s="15" t="s">
        <v>15</v>
      </c>
      <c r="C3" s="13" t="s">
        <v>14</v>
      </c>
      <c r="D3" s="14" t="s">
        <v>28</v>
      </c>
      <c r="E3" s="14" t="s">
        <v>29</v>
      </c>
      <c r="F3" s="18">
        <f t="shared" ref="F3:F39" si="0">SUM(G3:I3)</f>
        <v>3709.25</v>
      </c>
      <c r="G3" s="18">
        <v>3709.25</v>
      </c>
      <c r="H3" s="18">
        <v>0</v>
      </c>
      <c r="I3" s="18">
        <v>0</v>
      </c>
      <c r="J3" s="13" t="s">
        <v>45</v>
      </c>
      <c r="L3" s="19">
        <v>0.780698</v>
      </c>
      <c r="M3" s="20">
        <f t="shared" ref="M3:M39" si="1">SUM(N3:P3)</f>
        <v>2895.8040565000001</v>
      </c>
      <c r="N3" s="18">
        <f t="shared" ref="N3:N39" si="2">L3*G3</f>
        <v>2895.8040565000001</v>
      </c>
      <c r="O3" s="18">
        <f t="shared" ref="O3:O39" si="3">H3*L3</f>
        <v>0</v>
      </c>
      <c r="P3" s="18">
        <f t="shared" ref="P3:P39" si="4">I3*L3</f>
        <v>0</v>
      </c>
    </row>
    <row r="4" spans="1:16" x14ac:dyDescent="0.4">
      <c r="A4" s="22">
        <v>45870</v>
      </c>
      <c r="B4" s="15" t="s">
        <v>16</v>
      </c>
      <c r="C4" s="13" t="s">
        <v>14</v>
      </c>
      <c r="D4" s="14" t="s">
        <v>26</v>
      </c>
      <c r="E4" s="14" t="s">
        <v>25</v>
      </c>
      <c r="F4" s="18">
        <f t="shared" si="0"/>
        <v>12935.68</v>
      </c>
      <c r="G4" s="18">
        <v>12935.68</v>
      </c>
      <c r="H4" s="18">
        <v>0</v>
      </c>
      <c r="I4" s="18">
        <v>0</v>
      </c>
      <c r="J4" s="13" t="s">
        <v>45</v>
      </c>
      <c r="L4" s="19">
        <v>0.780698</v>
      </c>
      <c r="M4" s="20">
        <f t="shared" si="1"/>
        <v>10098.859504640001</v>
      </c>
      <c r="N4" s="18">
        <f t="shared" si="2"/>
        <v>10098.859504640001</v>
      </c>
      <c r="O4" s="18">
        <f t="shared" si="3"/>
        <v>0</v>
      </c>
      <c r="P4" s="18">
        <f t="shared" si="4"/>
        <v>0</v>
      </c>
    </row>
    <row r="5" spans="1:16" x14ac:dyDescent="0.4">
      <c r="A5" s="22">
        <v>45870</v>
      </c>
      <c r="B5" s="15" t="s">
        <v>17</v>
      </c>
      <c r="C5" s="13" t="s">
        <v>14</v>
      </c>
      <c r="D5" s="14" t="s">
        <v>27</v>
      </c>
      <c r="E5" s="14" t="s">
        <v>34</v>
      </c>
      <c r="F5" s="18">
        <f t="shared" si="0"/>
        <v>1203</v>
      </c>
      <c r="G5" s="18">
        <v>1203</v>
      </c>
      <c r="H5" s="18">
        <v>0</v>
      </c>
      <c r="I5" s="18">
        <v>0</v>
      </c>
      <c r="J5" s="13" t="s">
        <v>45</v>
      </c>
      <c r="L5" s="19">
        <v>0.780698</v>
      </c>
      <c r="M5" s="20">
        <f t="shared" si="1"/>
        <v>939.17969400000004</v>
      </c>
      <c r="N5" s="18">
        <f t="shared" si="2"/>
        <v>939.17969400000004</v>
      </c>
      <c r="O5" s="18">
        <f t="shared" si="3"/>
        <v>0</v>
      </c>
      <c r="P5" s="18">
        <f t="shared" si="4"/>
        <v>0</v>
      </c>
    </row>
    <row r="6" spans="1:16" x14ac:dyDescent="0.4">
      <c r="A6" s="22">
        <v>45901</v>
      </c>
      <c r="B6" s="15" t="s">
        <v>15</v>
      </c>
      <c r="C6" s="13" t="s">
        <v>14</v>
      </c>
      <c r="D6" s="14" t="s">
        <v>28</v>
      </c>
      <c r="E6" s="14" t="s">
        <v>29</v>
      </c>
      <c r="F6" s="18">
        <f t="shared" si="0"/>
        <v>3709.25</v>
      </c>
      <c r="G6" s="18">
        <v>3709.25</v>
      </c>
      <c r="H6" s="18">
        <v>0</v>
      </c>
      <c r="I6" s="18">
        <v>0</v>
      </c>
      <c r="J6" s="13" t="s">
        <v>45</v>
      </c>
      <c r="L6" s="19">
        <v>0.77589200000000003</v>
      </c>
      <c r="M6" s="20">
        <f t="shared" si="1"/>
        <v>2877.9774010000001</v>
      </c>
      <c r="N6" s="18">
        <f t="shared" si="2"/>
        <v>2877.9774010000001</v>
      </c>
      <c r="O6" s="18">
        <f t="shared" si="3"/>
        <v>0</v>
      </c>
      <c r="P6" s="18">
        <f t="shared" si="4"/>
        <v>0</v>
      </c>
    </row>
    <row r="7" spans="1:16" x14ac:dyDescent="0.4">
      <c r="A7" s="22">
        <v>45901</v>
      </c>
      <c r="B7" s="15" t="s">
        <v>16</v>
      </c>
      <c r="C7" s="13" t="s">
        <v>14</v>
      </c>
      <c r="D7" s="14" t="s">
        <v>26</v>
      </c>
      <c r="E7" s="14" t="s">
        <v>25</v>
      </c>
      <c r="F7" s="18">
        <f t="shared" si="0"/>
        <v>17602.25</v>
      </c>
      <c r="G7" s="18">
        <v>17602.25</v>
      </c>
      <c r="H7" s="18">
        <v>0</v>
      </c>
      <c r="I7" s="18">
        <v>0</v>
      </c>
      <c r="J7" s="13" t="s">
        <v>45</v>
      </c>
      <c r="L7" s="19">
        <v>0.77589200000000003</v>
      </c>
      <c r="M7" s="20">
        <f t="shared" si="1"/>
        <v>13657.444957</v>
      </c>
      <c r="N7" s="18">
        <f t="shared" si="2"/>
        <v>13657.444957</v>
      </c>
      <c r="O7" s="18">
        <f t="shared" si="3"/>
        <v>0</v>
      </c>
      <c r="P7" s="18">
        <f t="shared" si="4"/>
        <v>0</v>
      </c>
    </row>
    <row r="8" spans="1:16" x14ac:dyDescent="0.4">
      <c r="A8" s="22">
        <v>45901</v>
      </c>
      <c r="B8" s="15" t="s">
        <v>17</v>
      </c>
      <c r="C8" s="13" t="s">
        <v>14</v>
      </c>
      <c r="D8" s="14" t="s">
        <v>27</v>
      </c>
      <c r="E8" s="14" t="s">
        <v>34</v>
      </c>
      <c r="F8" s="18">
        <f t="shared" si="0"/>
        <v>8411.25</v>
      </c>
      <c r="G8" s="18">
        <v>8411.25</v>
      </c>
      <c r="H8" s="18">
        <v>0</v>
      </c>
      <c r="I8" s="18">
        <v>0</v>
      </c>
      <c r="J8" s="13" t="s">
        <v>45</v>
      </c>
      <c r="L8" s="19">
        <v>0.77589200000000003</v>
      </c>
      <c r="M8" s="20">
        <f t="shared" si="1"/>
        <v>6526.2215850000002</v>
      </c>
      <c r="N8" s="18">
        <f t="shared" si="2"/>
        <v>6526.2215850000002</v>
      </c>
      <c r="O8" s="18">
        <f t="shared" si="3"/>
        <v>0</v>
      </c>
      <c r="P8" s="18">
        <f t="shared" si="4"/>
        <v>0</v>
      </c>
    </row>
    <row r="9" spans="1:16" x14ac:dyDescent="0.4">
      <c r="A9" s="22">
        <v>45931</v>
      </c>
      <c r="B9" s="15" t="s">
        <v>15</v>
      </c>
      <c r="C9" s="13" t="s">
        <v>14</v>
      </c>
      <c r="D9" s="14" t="s">
        <v>28</v>
      </c>
      <c r="E9" s="14" t="s">
        <v>29</v>
      </c>
      <c r="F9" s="18">
        <f t="shared" si="0"/>
        <v>3709.25</v>
      </c>
      <c r="G9" s="18">
        <v>3709.25</v>
      </c>
      <c r="H9" s="18">
        <v>0</v>
      </c>
      <c r="I9" s="18">
        <v>0</v>
      </c>
      <c r="J9" s="13" t="s">
        <v>45</v>
      </c>
      <c r="L9" s="19">
        <v>0.77052799999999999</v>
      </c>
      <c r="M9" s="20">
        <f t="shared" si="1"/>
        <v>2858.0809840000002</v>
      </c>
      <c r="N9" s="18">
        <f t="shared" si="2"/>
        <v>2858.0809840000002</v>
      </c>
      <c r="O9" s="18">
        <f t="shared" si="3"/>
        <v>0</v>
      </c>
      <c r="P9" s="18">
        <f t="shared" si="4"/>
        <v>0</v>
      </c>
    </row>
    <row r="10" spans="1:16" x14ac:dyDescent="0.4">
      <c r="A10" s="22">
        <v>45931</v>
      </c>
      <c r="B10" s="15" t="s">
        <v>16</v>
      </c>
      <c r="C10" s="13" t="s">
        <v>14</v>
      </c>
      <c r="D10" s="14" t="s">
        <v>26</v>
      </c>
      <c r="E10" s="14" t="s">
        <v>25</v>
      </c>
      <c r="F10" s="18">
        <f t="shared" si="0"/>
        <v>17602.25</v>
      </c>
      <c r="G10" s="18">
        <v>17602.25</v>
      </c>
      <c r="H10" s="18">
        <v>0</v>
      </c>
      <c r="I10" s="18">
        <v>0</v>
      </c>
      <c r="J10" s="13" t="s">
        <v>45</v>
      </c>
      <c r="L10" s="19">
        <v>0.77052799999999999</v>
      </c>
      <c r="M10" s="20">
        <f t="shared" si="1"/>
        <v>13563.026488</v>
      </c>
      <c r="N10" s="18">
        <f t="shared" si="2"/>
        <v>13563.026488</v>
      </c>
      <c r="O10" s="18">
        <f t="shared" si="3"/>
        <v>0</v>
      </c>
      <c r="P10" s="18">
        <f t="shared" si="4"/>
        <v>0</v>
      </c>
    </row>
    <row r="11" spans="1:16" x14ac:dyDescent="0.4">
      <c r="A11" s="22">
        <v>45931</v>
      </c>
      <c r="B11" s="15" t="s">
        <v>17</v>
      </c>
      <c r="C11" s="13" t="s">
        <v>14</v>
      </c>
      <c r="D11" s="14" t="s">
        <v>27</v>
      </c>
      <c r="E11" s="14" t="s">
        <v>34</v>
      </c>
      <c r="F11" s="18">
        <f t="shared" si="0"/>
        <v>8411.25</v>
      </c>
      <c r="G11" s="18">
        <v>8411.25</v>
      </c>
      <c r="H11" s="18">
        <v>0</v>
      </c>
      <c r="I11" s="18">
        <v>0</v>
      </c>
      <c r="J11" s="13" t="s">
        <v>45</v>
      </c>
      <c r="L11" s="19">
        <v>0.77052799999999999</v>
      </c>
      <c r="M11" s="20">
        <f t="shared" si="1"/>
        <v>6481.1036400000003</v>
      </c>
      <c r="N11" s="18">
        <f t="shared" si="2"/>
        <v>6481.1036400000003</v>
      </c>
      <c r="O11" s="18">
        <f t="shared" si="3"/>
        <v>0</v>
      </c>
      <c r="P11" s="18">
        <f t="shared" si="4"/>
        <v>0</v>
      </c>
    </row>
    <row r="12" spans="1:16" x14ac:dyDescent="0.4">
      <c r="A12" s="22">
        <v>45931</v>
      </c>
      <c r="B12" s="15" t="s">
        <v>18</v>
      </c>
      <c r="C12" s="13" t="s">
        <v>14</v>
      </c>
      <c r="D12" s="14" t="s">
        <v>32</v>
      </c>
      <c r="E12" s="14" t="s">
        <v>31</v>
      </c>
      <c r="F12" s="18">
        <f t="shared" si="0"/>
        <v>2294.4112999999998</v>
      </c>
      <c r="G12" s="18">
        <v>2294.4112999999998</v>
      </c>
      <c r="H12" s="18">
        <v>0</v>
      </c>
      <c r="I12" s="18">
        <v>0</v>
      </c>
      <c r="J12" s="13" t="s">
        <v>45</v>
      </c>
      <c r="L12" s="19">
        <v>0.77052799999999999</v>
      </c>
      <c r="M12" s="20">
        <f t="shared" si="1"/>
        <v>1767.9081501663998</v>
      </c>
      <c r="N12" s="18">
        <f t="shared" si="2"/>
        <v>1767.9081501663998</v>
      </c>
      <c r="O12" s="18">
        <f t="shared" si="3"/>
        <v>0</v>
      </c>
      <c r="P12" s="18">
        <f t="shared" si="4"/>
        <v>0</v>
      </c>
    </row>
    <row r="13" spans="1:16" x14ac:dyDescent="0.4">
      <c r="A13" s="22">
        <v>45962</v>
      </c>
      <c r="B13" s="15" t="s">
        <v>15</v>
      </c>
      <c r="C13" s="13" t="s">
        <v>14</v>
      </c>
      <c r="D13" s="14" t="s">
        <v>28</v>
      </c>
      <c r="E13" s="14" t="s">
        <v>29</v>
      </c>
      <c r="F13" s="18">
        <f t="shared" si="0"/>
        <v>3709.25</v>
      </c>
      <c r="G13" s="18">
        <v>3709.25</v>
      </c>
      <c r="H13" s="18">
        <v>0</v>
      </c>
      <c r="I13" s="18">
        <v>0</v>
      </c>
      <c r="J13" s="13" t="s">
        <v>45</v>
      </c>
      <c r="L13" s="19">
        <v>0.77115100000000003</v>
      </c>
      <c r="M13" s="20">
        <f t="shared" si="1"/>
        <v>2860.3918467500002</v>
      </c>
      <c r="N13" s="18">
        <f t="shared" si="2"/>
        <v>2860.3918467500002</v>
      </c>
      <c r="O13" s="18">
        <f t="shared" si="3"/>
        <v>0</v>
      </c>
      <c r="P13" s="18">
        <f t="shared" si="4"/>
        <v>0</v>
      </c>
    </row>
    <row r="14" spans="1:16" x14ac:dyDescent="0.4">
      <c r="A14" s="22">
        <v>45962</v>
      </c>
      <c r="B14" s="15" t="s">
        <v>16</v>
      </c>
      <c r="C14" s="13" t="s">
        <v>14</v>
      </c>
      <c r="D14" s="14" t="s">
        <v>26</v>
      </c>
      <c r="E14" s="14" t="s">
        <v>25</v>
      </c>
      <c r="F14" s="18">
        <f t="shared" si="0"/>
        <v>17602.25</v>
      </c>
      <c r="G14" s="18">
        <v>17602.25</v>
      </c>
      <c r="H14" s="18">
        <v>0</v>
      </c>
      <c r="I14" s="18">
        <v>0</v>
      </c>
      <c r="J14" s="13" t="s">
        <v>45</v>
      </c>
      <c r="L14" s="19">
        <v>0.77115100000000003</v>
      </c>
      <c r="M14" s="20">
        <f t="shared" si="1"/>
        <v>13573.992689750001</v>
      </c>
      <c r="N14" s="18">
        <f t="shared" si="2"/>
        <v>13573.992689750001</v>
      </c>
      <c r="O14" s="18">
        <f t="shared" si="3"/>
        <v>0</v>
      </c>
      <c r="P14" s="18">
        <f t="shared" si="4"/>
        <v>0</v>
      </c>
    </row>
    <row r="15" spans="1:16" x14ac:dyDescent="0.4">
      <c r="A15" s="22">
        <v>45962</v>
      </c>
      <c r="B15" s="15" t="s">
        <v>17</v>
      </c>
      <c r="C15" s="13" t="s">
        <v>14</v>
      </c>
      <c r="D15" s="14" t="s">
        <v>27</v>
      </c>
      <c r="E15" s="14" t="s">
        <v>34</v>
      </c>
      <c r="F15" s="18">
        <f t="shared" si="0"/>
        <v>8411.25</v>
      </c>
      <c r="G15" s="18">
        <v>8411.25</v>
      </c>
      <c r="H15" s="18">
        <v>0</v>
      </c>
      <c r="I15" s="18">
        <v>0</v>
      </c>
      <c r="J15" s="13" t="s">
        <v>45</v>
      </c>
      <c r="L15" s="19">
        <v>0.77115100000000003</v>
      </c>
      <c r="M15" s="20">
        <f t="shared" si="1"/>
        <v>6486.3438487500007</v>
      </c>
      <c r="N15" s="18">
        <f t="shared" si="2"/>
        <v>6486.3438487500007</v>
      </c>
      <c r="O15" s="18">
        <f t="shared" si="3"/>
        <v>0</v>
      </c>
      <c r="P15" s="18">
        <f t="shared" si="4"/>
        <v>0</v>
      </c>
    </row>
    <row r="16" spans="1:16" x14ac:dyDescent="0.4">
      <c r="A16" s="22">
        <v>45962</v>
      </c>
      <c r="B16" s="15" t="s">
        <v>19</v>
      </c>
      <c r="C16" s="13" t="s">
        <v>14</v>
      </c>
      <c r="D16" s="14" t="s">
        <v>32</v>
      </c>
      <c r="E16" s="14" t="s">
        <v>31</v>
      </c>
      <c r="F16" s="18">
        <f t="shared" si="0"/>
        <v>10269.25</v>
      </c>
      <c r="G16" s="18">
        <v>10269.25</v>
      </c>
      <c r="H16" s="18">
        <v>0</v>
      </c>
      <c r="I16" s="18">
        <v>0</v>
      </c>
      <c r="J16" s="13" t="s">
        <v>45</v>
      </c>
      <c r="L16" s="19">
        <v>0.77115100000000003</v>
      </c>
      <c r="M16" s="20">
        <f t="shared" si="1"/>
        <v>7919.1424067500002</v>
      </c>
      <c r="N16" s="18">
        <f t="shared" si="2"/>
        <v>7919.1424067500002</v>
      </c>
      <c r="O16" s="18">
        <f t="shared" si="3"/>
        <v>0</v>
      </c>
      <c r="P16" s="18">
        <f t="shared" si="4"/>
        <v>0</v>
      </c>
    </row>
    <row r="17" spans="1:16" x14ac:dyDescent="0.4">
      <c r="A17" s="22">
        <v>45992</v>
      </c>
      <c r="B17" s="15" t="s">
        <v>15</v>
      </c>
      <c r="C17" s="13" t="s">
        <v>14</v>
      </c>
      <c r="D17" s="14" t="s">
        <v>28</v>
      </c>
      <c r="E17" s="14" t="s">
        <v>29</v>
      </c>
      <c r="F17" s="18">
        <f t="shared" si="0"/>
        <v>3709.25</v>
      </c>
      <c r="G17" s="18">
        <v>3709.25</v>
      </c>
      <c r="H17" s="18">
        <v>0</v>
      </c>
      <c r="I17" s="18">
        <v>0</v>
      </c>
      <c r="J17" s="13" t="s">
        <v>45</v>
      </c>
      <c r="L17" s="19">
        <v>0.77660499999999999</v>
      </c>
      <c r="M17" s="20">
        <f t="shared" si="1"/>
        <v>2880.6220962500001</v>
      </c>
      <c r="N17" s="18">
        <f t="shared" si="2"/>
        <v>2880.6220962500001</v>
      </c>
      <c r="O17" s="18">
        <f t="shared" si="3"/>
        <v>0</v>
      </c>
      <c r="P17" s="18">
        <f t="shared" si="4"/>
        <v>0</v>
      </c>
    </row>
    <row r="18" spans="1:16" x14ac:dyDescent="0.4">
      <c r="A18" s="22">
        <v>45992</v>
      </c>
      <c r="B18" s="15" t="s">
        <v>16</v>
      </c>
      <c r="C18" s="13" t="s">
        <v>14</v>
      </c>
      <c r="D18" s="14" t="s">
        <v>26</v>
      </c>
      <c r="E18" s="14" t="s">
        <v>25</v>
      </c>
      <c r="F18" s="18">
        <f t="shared" si="0"/>
        <v>17602.25</v>
      </c>
      <c r="G18" s="18">
        <v>17602.25</v>
      </c>
      <c r="H18" s="18">
        <v>0</v>
      </c>
      <c r="I18" s="18">
        <v>0</v>
      </c>
      <c r="J18" s="13" t="s">
        <v>45</v>
      </c>
      <c r="L18" s="19">
        <v>0.77660499999999999</v>
      </c>
      <c r="M18" s="20">
        <f t="shared" si="1"/>
        <v>13669.995361249999</v>
      </c>
      <c r="N18" s="18">
        <f t="shared" si="2"/>
        <v>13669.995361249999</v>
      </c>
      <c r="O18" s="18">
        <f t="shared" si="3"/>
        <v>0</v>
      </c>
      <c r="P18" s="18">
        <f t="shared" si="4"/>
        <v>0</v>
      </c>
    </row>
    <row r="19" spans="1:16" x14ac:dyDescent="0.4">
      <c r="A19" s="22">
        <v>45992</v>
      </c>
      <c r="B19" s="15" t="s">
        <v>17</v>
      </c>
      <c r="C19" s="13" t="s">
        <v>14</v>
      </c>
      <c r="D19" s="14" t="s">
        <v>27</v>
      </c>
      <c r="E19" s="14" t="s">
        <v>34</v>
      </c>
      <c r="F19" s="18">
        <f t="shared" si="0"/>
        <v>8411.25</v>
      </c>
      <c r="G19" s="18">
        <v>8411.25</v>
      </c>
      <c r="H19" s="18">
        <v>0</v>
      </c>
      <c r="I19" s="18">
        <v>0</v>
      </c>
      <c r="J19" s="13" t="s">
        <v>45</v>
      </c>
      <c r="L19" s="19">
        <v>0.77660499999999999</v>
      </c>
      <c r="M19" s="20">
        <f t="shared" si="1"/>
        <v>6532.2188062499999</v>
      </c>
      <c r="N19" s="18">
        <f t="shared" si="2"/>
        <v>6532.2188062499999</v>
      </c>
      <c r="O19" s="18">
        <f t="shared" si="3"/>
        <v>0</v>
      </c>
      <c r="P19" s="18">
        <f t="shared" si="4"/>
        <v>0</v>
      </c>
    </row>
    <row r="20" spans="1:16" x14ac:dyDescent="0.4">
      <c r="A20" s="22">
        <v>45992</v>
      </c>
      <c r="B20" s="15" t="s">
        <v>19</v>
      </c>
      <c r="C20" s="13" t="s">
        <v>14</v>
      </c>
      <c r="D20" s="14" t="s">
        <v>32</v>
      </c>
      <c r="E20" s="14" t="s">
        <v>31</v>
      </c>
      <c r="F20" s="18">
        <f t="shared" si="0"/>
        <v>10269.25</v>
      </c>
      <c r="G20" s="18">
        <v>10269.25</v>
      </c>
      <c r="H20" s="18">
        <v>0</v>
      </c>
      <c r="I20" s="18">
        <v>0</v>
      </c>
      <c r="J20" s="13" t="s">
        <v>45</v>
      </c>
      <c r="L20" s="19">
        <v>0.77660499999999999</v>
      </c>
      <c r="M20" s="20">
        <f t="shared" si="1"/>
        <v>7975.1508962500002</v>
      </c>
      <c r="N20" s="18">
        <f t="shared" si="2"/>
        <v>7975.1508962500002</v>
      </c>
      <c r="O20" s="18">
        <f t="shared" si="3"/>
        <v>0</v>
      </c>
      <c r="P20" s="18">
        <f t="shared" si="4"/>
        <v>0</v>
      </c>
    </row>
    <row r="21" spans="1:16" x14ac:dyDescent="0.4">
      <c r="A21" s="22">
        <v>45992</v>
      </c>
      <c r="B21" s="15" t="s">
        <v>20</v>
      </c>
      <c r="C21" s="13" t="s">
        <v>14</v>
      </c>
      <c r="D21" s="14" t="s">
        <v>32</v>
      </c>
      <c r="E21" s="14" t="s">
        <v>30</v>
      </c>
      <c r="F21" s="18">
        <f t="shared" si="0"/>
        <v>6446.25</v>
      </c>
      <c r="G21" s="18">
        <v>6446.25</v>
      </c>
      <c r="H21" s="18">
        <v>0</v>
      </c>
      <c r="I21" s="18">
        <v>0</v>
      </c>
      <c r="J21" s="13" t="s">
        <v>45</v>
      </c>
      <c r="L21" s="19">
        <v>0.77660499999999999</v>
      </c>
      <c r="M21" s="20">
        <f t="shared" si="1"/>
        <v>5006.1899812499996</v>
      </c>
      <c r="N21" s="18">
        <f t="shared" si="2"/>
        <v>5006.1899812499996</v>
      </c>
      <c r="O21" s="18">
        <f t="shared" si="3"/>
        <v>0</v>
      </c>
      <c r="P21" s="18">
        <f t="shared" si="4"/>
        <v>0</v>
      </c>
    </row>
    <row r="22" spans="1:16" x14ac:dyDescent="0.4">
      <c r="A22" s="22">
        <v>46023</v>
      </c>
      <c r="B22" s="15" t="s">
        <v>15</v>
      </c>
      <c r="C22" s="13" t="s">
        <v>14</v>
      </c>
      <c r="D22" s="14" t="s">
        <v>28</v>
      </c>
      <c r="E22" s="14" t="s">
        <v>29</v>
      </c>
      <c r="F22" s="18">
        <f t="shared" si="0"/>
        <v>5442.67</v>
      </c>
      <c r="G22" s="18">
        <v>3709.25</v>
      </c>
      <c r="H22" s="18">
        <v>1733.42</v>
      </c>
      <c r="I22" s="18">
        <v>0</v>
      </c>
      <c r="J22" s="13" t="s">
        <v>45</v>
      </c>
      <c r="K22" s="14" t="s">
        <v>23</v>
      </c>
      <c r="L22" s="19">
        <v>0.79022099999999995</v>
      </c>
      <c r="M22" s="20">
        <f t="shared" si="1"/>
        <v>4300.9121300699999</v>
      </c>
      <c r="N22" s="18">
        <f t="shared" si="2"/>
        <v>2931.1272442499999</v>
      </c>
      <c r="O22" s="18">
        <f t="shared" si="3"/>
        <v>1369.78488582</v>
      </c>
      <c r="P22" s="18">
        <f t="shared" si="4"/>
        <v>0</v>
      </c>
    </row>
    <row r="23" spans="1:16" x14ac:dyDescent="0.4">
      <c r="A23" s="22">
        <v>46023</v>
      </c>
      <c r="B23" s="15" t="s">
        <v>17</v>
      </c>
      <c r="C23" s="13" t="s">
        <v>14</v>
      </c>
      <c r="D23" s="14" t="s">
        <v>27</v>
      </c>
      <c r="E23" s="14" t="s">
        <v>34</v>
      </c>
      <c r="F23" s="18">
        <f t="shared" si="0"/>
        <v>14317.34</v>
      </c>
      <c r="G23" s="18">
        <v>8411.25</v>
      </c>
      <c r="H23" s="18">
        <v>5906.09</v>
      </c>
      <c r="I23" s="18">
        <v>0</v>
      </c>
      <c r="J23" s="13" t="s">
        <v>45</v>
      </c>
      <c r="K23" s="14" t="s">
        <v>23</v>
      </c>
      <c r="L23" s="19">
        <v>0.79022099999999995</v>
      </c>
      <c r="M23" s="20">
        <f t="shared" si="1"/>
        <v>11313.86273214</v>
      </c>
      <c r="N23" s="18">
        <f t="shared" si="2"/>
        <v>6646.7463862499999</v>
      </c>
      <c r="O23" s="18">
        <f t="shared" si="3"/>
        <v>4667.11634589</v>
      </c>
      <c r="P23" s="18">
        <f t="shared" si="4"/>
        <v>0</v>
      </c>
    </row>
    <row r="24" spans="1:16" x14ac:dyDescent="0.4">
      <c r="A24" s="22">
        <v>46023</v>
      </c>
      <c r="B24" s="15" t="s">
        <v>19</v>
      </c>
      <c r="C24" s="13" t="s">
        <v>14</v>
      </c>
      <c r="D24" s="14" t="s">
        <v>32</v>
      </c>
      <c r="E24" s="14" t="s">
        <v>31</v>
      </c>
      <c r="F24" s="18">
        <f t="shared" si="0"/>
        <v>14249.039500000001</v>
      </c>
      <c r="G24" s="18">
        <v>10934.6895</v>
      </c>
      <c r="H24" s="18">
        <v>3314.35</v>
      </c>
      <c r="I24" s="18">
        <v>0</v>
      </c>
      <c r="J24" s="13" t="s">
        <v>45</v>
      </c>
      <c r="K24" s="14" t="s">
        <v>23</v>
      </c>
      <c r="L24" s="19">
        <v>0.79022099999999995</v>
      </c>
      <c r="M24" s="20">
        <f t="shared" si="1"/>
        <v>11259.8902427295</v>
      </c>
      <c r="N24" s="18">
        <f t="shared" si="2"/>
        <v>8640.8212713795001</v>
      </c>
      <c r="O24" s="18">
        <f t="shared" si="3"/>
        <v>2619.0689713499996</v>
      </c>
      <c r="P24" s="18">
        <f t="shared" si="4"/>
        <v>0</v>
      </c>
    </row>
    <row r="25" spans="1:16" x14ac:dyDescent="0.4">
      <c r="A25" s="22">
        <v>46023</v>
      </c>
      <c r="B25" s="15" t="s">
        <v>21</v>
      </c>
      <c r="C25" s="13" t="s">
        <v>14</v>
      </c>
      <c r="D25" s="14" t="s">
        <v>32</v>
      </c>
      <c r="E25" s="14" t="s">
        <v>30</v>
      </c>
      <c r="F25" s="18">
        <f t="shared" si="0"/>
        <v>8224.65</v>
      </c>
      <c r="G25" s="18">
        <v>6704.65</v>
      </c>
      <c r="H25" s="18">
        <v>1520</v>
      </c>
      <c r="I25" s="18">
        <v>0</v>
      </c>
      <c r="J25" s="13" t="s">
        <v>45</v>
      </c>
      <c r="K25" s="14" t="s">
        <v>23</v>
      </c>
      <c r="L25" s="19">
        <v>0.79022099999999995</v>
      </c>
      <c r="M25" s="20">
        <f t="shared" si="1"/>
        <v>6499.2911476499994</v>
      </c>
      <c r="N25" s="18">
        <f t="shared" si="2"/>
        <v>5298.1552276499997</v>
      </c>
      <c r="O25" s="18">
        <f t="shared" si="3"/>
        <v>1201.1359199999999</v>
      </c>
      <c r="P25" s="18">
        <f t="shared" si="4"/>
        <v>0</v>
      </c>
    </row>
    <row r="26" spans="1:16" x14ac:dyDescent="0.4">
      <c r="A26" s="22">
        <v>46023</v>
      </c>
      <c r="B26" s="15" t="s">
        <v>16</v>
      </c>
      <c r="C26" s="13" t="s">
        <v>14</v>
      </c>
      <c r="D26" s="14" t="s">
        <v>26</v>
      </c>
      <c r="E26" s="14" t="s">
        <v>25</v>
      </c>
      <c r="F26" s="18">
        <f t="shared" si="0"/>
        <v>48390.311000000002</v>
      </c>
      <c r="G26" s="18">
        <v>24149.011000000002</v>
      </c>
      <c r="H26" s="18">
        <v>24241.3</v>
      </c>
      <c r="I26" s="18">
        <v>0</v>
      </c>
      <c r="J26" s="13" t="s">
        <v>45</v>
      </c>
      <c r="K26" s="14" t="s">
        <v>23</v>
      </c>
      <c r="L26" s="19">
        <v>0.79022099999999995</v>
      </c>
      <c r="M26" s="20">
        <f t="shared" si="1"/>
        <v>38239.039948730999</v>
      </c>
      <c r="N26" s="18">
        <f t="shared" si="2"/>
        <v>19083.055621431002</v>
      </c>
      <c r="O26" s="18">
        <f t="shared" si="3"/>
        <v>19155.984327299997</v>
      </c>
      <c r="P26" s="18">
        <f t="shared" si="4"/>
        <v>0</v>
      </c>
    </row>
    <row r="27" spans="1:16" x14ac:dyDescent="0.4">
      <c r="A27" s="22">
        <v>46023</v>
      </c>
      <c r="B27" s="15" t="s">
        <v>22</v>
      </c>
      <c r="C27" s="13" t="s">
        <v>14</v>
      </c>
      <c r="D27" s="14" t="s">
        <v>26</v>
      </c>
      <c r="E27" s="14" t="s">
        <v>33</v>
      </c>
      <c r="F27" s="18">
        <f t="shared" si="0"/>
        <v>51371.25</v>
      </c>
      <c r="G27" s="18">
        <v>51371.25</v>
      </c>
      <c r="H27" s="18">
        <v>0</v>
      </c>
      <c r="I27" s="18">
        <v>0</v>
      </c>
      <c r="J27" s="13" t="s">
        <v>45</v>
      </c>
      <c r="L27" s="19">
        <v>0.79022099999999995</v>
      </c>
      <c r="M27" s="20">
        <f t="shared" si="1"/>
        <v>40594.640546249997</v>
      </c>
      <c r="N27" s="18">
        <f t="shared" si="2"/>
        <v>40594.640546249997</v>
      </c>
      <c r="O27" s="18">
        <f t="shared" si="3"/>
        <v>0</v>
      </c>
      <c r="P27" s="18">
        <f t="shared" si="4"/>
        <v>0</v>
      </c>
    </row>
    <row r="28" spans="1:16" x14ac:dyDescent="0.4">
      <c r="A28" s="22">
        <v>46054</v>
      </c>
      <c r="B28" s="15" t="s">
        <v>15</v>
      </c>
      <c r="C28" s="13" t="s">
        <v>14</v>
      </c>
      <c r="D28" s="14" t="s">
        <v>28</v>
      </c>
      <c r="E28" s="14" t="s">
        <v>29</v>
      </c>
      <c r="F28" s="18">
        <f t="shared" si="0"/>
        <v>2967.4</v>
      </c>
      <c r="G28" s="18">
        <v>2967.4</v>
      </c>
      <c r="H28" s="18">
        <v>0</v>
      </c>
      <c r="I28" s="18">
        <v>0</v>
      </c>
      <c r="J28" s="13" t="s">
        <v>45</v>
      </c>
      <c r="L28" s="19">
        <v>0.78708</v>
      </c>
      <c r="M28" s="20">
        <f t="shared" si="1"/>
        <v>2335.5811920000001</v>
      </c>
      <c r="N28" s="18">
        <f t="shared" si="2"/>
        <v>2335.5811920000001</v>
      </c>
      <c r="O28" s="18">
        <f t="shared" si="3"/>
        <v>0</v>
      </c>
      <c r="P28" s="18">
        <f t="shared" si="4"/>
        <v>0</v>
      </c>
    </row>
    <row r="29" spans="1:16" x14ac:dyDescent="0.4">
      <c r="A29" s="22">
        <v>46054</v>
      </c>
      <c r="B29" s="15" t="s">
        <v>17</v>
      </c>
      <c r="C29" s="13" t="s">
        <v>14</v>
      </c>
      <c r="D29" s="14" t="s">
        <v>27</v>
      </c>
      <c r="E29" s="14" t="s">
        <v>34</v>
      </c>
      <c r="F29" s="18">
        <f t="shared" si="0"/>
        <v>8411.25</v>
      </c>
      <c r="G29" s="18">
        <v>8411.25</v>
      </c>
      <c r="H29" s="18">
        <v>0</v>
      </c>
      <c r="I29" s="18">
        <v>0</v>
      </c>
      <c r="J29" s="13" t="s">
        <v>45</v>
      </c>
      <c r="L29" s="19">
        <v>0.78708</v>
      </c>
      <c r="M29" s="20">
        <f t="shared" si="1"/>
        <v>6620.32665</v>
      </c>
      <c r="N29" s="18">
        <f t="shared" si="2"/>
        <v>6620.32665</v>
      </c>
      <c r="O29" s="18">
        <f t="shared" si="3"/>
        <v>0</v>
      </c>
      <c r="P29" s="18">
        <f t="shared" si="4"/>
        <v>0</v>
      </c>
    </row>
    <row r="30" spans="1:16" x14ac:dyDescent="0.4">
      <c r="A30" s="22">
        <v>46054</v>
      </c>
      <c r="B30" s="15" t="s">
        <v>19</v>
      </c>
      <c r="C30" s="13" t="s">
        <v>14</v>
      </c>
      <c r="D30" s="14" t="s">
        <v>32</v>
      </c>
      <c r="E30" s="14" t="s">
        <v>31</v>
      </c>
      <c r="F30" s="18">
        <f t="shared" si="0"/>
        <v>10371.25</v>
      </c>
      <c r="G30" s="18">
        <v>10371.25</v>
      </c>
      <c r="H30" s="18">
        <v>0</v>
      </c>
      <c r="I30" s="18">
        <v>0</v>
      </c>
      <c r="J30" s="13" t="s">
        <v>45</v>
      </c>
      <c r="L30" s="19">
        <v>0.78708</v>
      </c>
      <c r="M30" s="20">
        <f t="shared" si="1"/>
        <v>8163.0034500000002</v>
      </c>
      <c r="N30" s="18">
        <f t="shared" si="2"/>
        <v>8163.0034500000002</v>
      </c>
      <c r="O30" s="18">
        <f t="shared" si="3"/>
        <v>0</v>
      </c>
      <c r="P30" s="18">
        <f t="shared" si="4"/>
        <v>0</v>
      </c>
    </row>
    <row r="31" spans="1:16" x14ac:dyDescent="0.4">
      <c r="A31" s="22">
        <v>46054</v>
      </c>
      <c r="B31" s="15" t="s">
        <v>21</v>
      </c>
      <c r="C31" s="13" t="s">
        <v>14</v>
      </c>
      <c r="D31" s="14" t="s">
        <v>32</v>
      </c>
      <c r="E31" s="14" t="s">
        <v>30</v>
      </c>
      <c r="F31" s="18">
        <f t="shared" si="0"/>
        <v>6528.25</v>
      </c>
      <c r="G31" s="18">
        <v>6528.25</v>
      </c>
      <c r="H31" s="18">
        <v>0</v>
      </c>
      <c r="I31" s="18">
        <v>0</v>
      </c>
      <c r="J31" s="13" t="s">
        <v>45</v>
      </c>
      <c r="L31" s="19">
        <v>0.78708</v>
      </c>
      <c r="M31" s="20">
        <f t="shared" si="1"/>
        <v>5138.2550099999999</v>
      </c>
      <c r="N31" s="18">
        <f t="shared" si="2"/>
        <v>5138.2550099999999</v>
      </c>
      <c r="O31" s="18">
        <f t="shared" si="3"/>
        <v>0</v>
      </c>
      <c r="P31" s="18">
        <f t="shared" si="4"/>
        <v>0</v>
      </c>
    </row>
    <row r="32" spans="1:16" x14ac:dyDescent="0.4">
      <c r="A32" s="22">
        <v>46054</v>
      </c>
      <c r="B32" s="15" t="s">
        <v>22</v>
      </c>
      <c r="C32" s="13" t="s">
        <v>14</v>
      </c>
      <c r="D32" s="14" t="s">
        <v>26</v>
      </c>
      <c r="E32" s="14" t="s">
        <v>33</v>
      </c>
      <c r="F32" s="18">
        <f t="shared" si="0"/>
        <v>26371.25</v>
      </c>
      <c r="G32" s="18">
        <v>26371.25</v>
      </c>
      <c r="H32" s="18">
        <v>0</v>
      </c>
      <c r="I32" s="18">
        <v>0</v>
      </c>
      <c r="J32" s="13" t="s">
        <v>45</v>
      </c>
      <c r="L32" s="19">
        <v>0.78708</v>
      </c>
      <c r="M32" s="20">
        <f t="shared" si="1"/>
        <v>20756.283449999999</v>
      </c>
      <c r="N32" s="18">
        <f t="shared" si="2"/>
        <v>20756.283449999999</v>
      </c>
      <c r="O32" s="18">
        <f t="shared" si="3"/>
        <v>0</v>
      </c>
      <c r="P32" s="18">
        <f t="shared" si="4"/>
        <v>0</v>
      </c>
    </row>
    <row r="33" spans="1:16" x14ac:dyDescent="0.4">
      <c r="A33" s="22">
        <v>46054</v>
      </c>
      <c r="B33" s="15" t="s">
        <v>24</v>
      </c>
      <c r="C33" s="13" t="s">
        <v>14</v>
      </c>
      <c r="D33" s="14" t="s">
        <v>32</v>
      </c>
      <c r="E33" s="14" t="s">
        <v>30</v>
      </c>
      <c r="F33" s="18">
        <f t="shared" si="0"/>
        <v>3869.25</v>
      </c>
      <c r="G33" s="18">
        <v>3869.25</v>
      </c>
      <c r="H33" s="18">
        <v>0</v>
      </c>
      <c r="I33" s="18">
        <v>0</v>
      </c>
      <c r="J33" s="13" t="s">
        <v>45</v>
      </c>
      <c r="L33" s="19">
        <v>0.78708</v>
      </c>
      <c r="M33" s="20">
        <f t="shared" si="1"/>
        <v>3045.4092900000001</v>
      </c>
      <c r="N33" s="18">
        <f t="shared" si="2"/>
        <v>3045.4092900000001</v>
      </c>
      <c r="O33" s="18">
        <f t="shared" si="3"/>
        <v>0</v>
      </c>
      <c r="P33" s="18">
        <f t="shared" si="4"/>
        <v>0</v>
      </c>
    </row>
    <row r="34" spans="1:16" x14ac:dyDescent="0.4">
      <c r="A34" s="22">
        <v>46082</v>
      </c>
      <c r="B34" s="15" t="s">
        <v>15</v>
      </c>
      <c r="C34" s="13" t="s">
        <v>14</v>
      </c>
      <c r="D34" s="14" t="s">
        <v>28</v>
      </c>
      <c r="E34" s="14" t="s">
        <v>29</v>
      </c>
      <c r="F34" s="18">
        <f t="shared" si="0"/>
        <v>3709.25</v>
      </c>
      <c r="G34" s="18">
        <v>3709.25</v>
      </c>
      <c r="H34" s="18">
        <v>0</v>
      </c>
      <c r="I34" s="18">
        <v>0</v>
      </c>
      <c r="J34" s="13" t="s">
        <v>45</v>
      </c>
      <c r="L34" s="19">
        <v>0.77427199999999996</v>
      </c>
      <c r="M34" s="20">
        <f t="shared" si="1"/>
        <v>2871.9684159999997</v>
      </c>
      <c r="N34" s="18">
        <f t="shared" si="2"/>
        <v>2871.9684159999997</v>
      </c>
      <c r="O34" s="18">
        <f t="shared" si="3"/>
        <v>0</v>
      </c>
      <c r="P34" s="18">
        <f t="shared" si="4"/>
        <v>0</v>
      </c>
    </row>
    <row r="35" spans="1:16" x14ac:dyDescent="0.4">
      <c r="A35" s="22">
        <v>46082</v>
      </c>
      <c r="B35" s="15" t="s">
        <v>17</v>
      </c>
      <c r="C35" s="13" t="s">
        <v>14</v>
      </c>
      <c r="D35" s="14" t="s">
        <v>27</v>
      </c>
      <c r="E35" s="14" t="s">
        <v>34</v>
      </c>
      <c r="F35" s="18">
        <f t="shared" si="0"/>
        <v>8411.25</v>
      </c>
      <c r="G35" s="18">
        <v>8411.25</v>
      </c>
      <c r="H35" s="18">
        <v>0</v>
      </c>
      <c r="I35" s="18">
        <v>0</v>
      </c>
      <c r="J35" s="13" t="s">
        <v>45</v>
      </c>
      <c r="L35" s="19">
        <v>0.77427199999999996</v>
      </c>
      <c r="M35" s="20">
        <f t="shared" si="1"/>
        <v>6512.5953599999993</v>
      </c>
      <c r="N35" s="18">
        <f t="shared" si="2"/>
        <v>6512.5953599999993</v>
      </c>
      <c r="O35" s="18">
        <f t="shared" si="3"/>
        <v>0</v>
      </c>
      <c r="P35" s="18">
        <f t="shared" si="4"/>
        <v>0</v>
      </c>
    </row>
    <row r="36" spans="1:16" x14ac:dyDescent="0.4">
      <c r="A36" s="22">
        <v>46082</v>
      </c>
      <c r="B36" s="15" t="s">
        <v>19</v>
      </c>
      <c r="C36" s="13" t="s">
        <v>14</v>
      </c>
      <c r="D36" s="14" t="s">
        <v>32</v>
      </c>
      <c r="E36" s="14" t="s">
        <v>31</v>
      </c>
      <c r="F36" s="18">
        <f t="shared" si="0"/>
        <v>10371.25</v>
      </c>
      <c r="G36" s="18">
        <v>10371.25</v>
      </c>
      <c r="H36" s="18">
        <v>0</v>
      </c>
      <c r="I36" s="18">
        <v>0</v>
      </c>
      <c r="J36" s="13" t="s">
        <v>45</v>
      </c>
      <c r="L36" s="19">
        <v>0.77427199999999996</v>
      </c>
      <c r="M36" s="20">
        <f t="shared" si="1"/>
        <v>8030.1684799999994</v>
      </c>
      <c r="N36" s="18">
        <f t="shared" si="2"/>
        <v>8030.1684799999994</v>
      </c>
      <c r="O36" s="18">
        <f t="shared" si="3"/>
        <v>0</v>
      </c>
      <c r="P36" s="18">
        <f t="shared" si="4"/>
        <v>0</v>
      </c>
    </row>
    <row r="37" spans="1:16" x14ac:dyDescent="0.4">
      <c r="A37" s="22">
        <v>46082</v>
      </c>
      <c r="B37" s="15" t="s">
        <v>21</v>
      </c>
      <c r="C37" s="13" t="s">
        <v>14</v>
      </c>
      <c r="D37" s="14" t="s">
        <v>32</v>
      </c>
      <c r="E37" s="14" t="s">
        <v>30</v>
      </c>
      <c r="F37" s="18">
        <f t="shared" si="0"/>
        <v>6446.25</v>
      </c>
      <c r="G37" s="18">
        <v>6446.25</v>
      </c>
      <c r="H37" s="18">
        <v>0</v>
      </c>
      <c r="I37" s="18">
        <v>0</v>
      </c>
      <c r="J37" s="13" t="s">
        <v>45</v>
      </c>
      <c r="L37" s="19">
        <v>0.77427199999999996</v>
      </c>
      <c r="M37" s="20">
        <f t="shared" si="1"/>
        <v>4991.1508800000001</v>
      </c>
      <c r="N37" s="18">
        <f t="shared" si="2"/>
        <v>4991.1508800000001</v>
      </c>
      <c r="O37" s="18">
        <f t="shared" si="3"/>
        <v>0</v>
      </c>
      <c r="P37" s="18">
        <f t="shared" si="4"/>
        <v>0</v>
      </c>
    </row>
    <row r="38" spans="1:16" x14ac:dyDescent="0.4">
      <c r="A38" s="22">
        <v>46082</v>
      </c>
      <c r="B38" s="15" t="s">
        <v>22</v>
      </c>
      <c r="C38" s="13" t="s">
        <v>14</v>
      </c>
      <c r="D38" s="14" t="s">
        <v>26</v>
      </c>
      <c r="E38" s="14" t="s">
        <v>33</v>
      </c>
      <c r="F38" s="18">
        <f t="shared" si="0"/>
        <v>26371</v>
      </c>
      <c r="G38" s="18">
        <v>26371</v>
      </c>
      <c r="H38" s="18">
        <v>0</v>
      </c>
      <c r="I38" s="18">
        <v>0</v>
      </c>
      <c r="J38" s="13" t="s">
        <v>45</v>
      </c>
      <c r="L38" s="19">
        <v>0.77427199999999996</v>
      </c>
      <c r="M38" s="20">
        <f t="shared" si="1"/>
        <v>20418.326912</v>
      </c>
      <c r="N38" s="18">
        <f t="shared" si="2"/>
        <v>20418.326912</v>
      </c>
      <c r="O38" s="18">
        <f t="shared" si="3"/>
        <v>0</v>
      </c>
      <c r="P38" s="18">
        <f t="shared" si="4"/>
        <v>0</v>
      </c>
    </row>
    <row r="39" spans="1:16" x14ac:dyDescent="0.4">
      <c r="A39" s="22">
        <v>46082</v>
      </c>
      <c r="B39" s="15" t="s">
        <v>24</v>
      </c>
      <c r="C39" s="13" t="s">
        <v>14</v>
      </c>
      <c r="D39" s="14" t="s">
        <v>32</v>
      </c>
      <c r="E39" s="14" t="s">
        <v>30</v>
      </c>
      <c r="F39" s="18">
        <f t="shared" si="0"/>
        <v>6446</v>
      </c>
      <c r="G39" s="18">
        <v>6446</v>
      </c>
      <c r="H39" s="18">
        <v>0</v>
      </c>
      <c r="I39" s="18">
        <v>0</v>
      </c>
      <c r="J39" s="13" t="s">
        <v>45</v>
      </c>
      <c r="L39" s="19">
        <v>0.77427199999999996</v>
      </c>
      <c r="M39" s="20">
        <f t="shared" si="1"/>
        <v>4990.9573119999995</v>
      </c>
      <c r="N39" s="18">
        <f t="shared" si="2"/>
        <v>4990.9573119999995</v>
      </c>
      <c r="O39" s="18">
        <f t="shared" si="3"/>
        <v>0</v>
      </c>
      <c r="P39" s="18">
        <f t="shared" si="4"/>
        <v>0</v>
      </c>
    </row>
  </sheetData>
  <autoFilter ref="A1:K39" xr:uid="{D13E08C4-5506-49F2-B3C9-A3EC8DEE273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1A5A-4988-4136-A772-A5A298B1C85A}">
  <dimension ref="A1:I10"/>
  <sheetViews>
    <sheetView tabSelected="1" workbookViewId="0">
      <selection activeCell="F16" sqref="F16"/>
    </sheetView>
  </sheetViews>
  <sheetFormatPr defaultRowHeight="13.9" x14ac:dyDescent="0.4"/>
  <cols>
    <col min="1" max="1" width="13.6640625" style="7" customWidth="1"/>
    <col min="2" max="4" width="9.06640625" style="7"/>
    <col min="5" max="5" width="11.265625" style="7" customWidth="1"/>
    <col min="6" max="16384" width="9.06640625" style="7"/>
  </cols>
  <sheetData>
    <row r="1" spans="1:9" s="17" customFormat="1" ht="43.9" x14ac:dyDescent="0.4">
      <c r="A1" s="25" t="s">
        <v>43</v>
      </c>
      <c r="B1" s="26" t="s">
        <v>11</v>
      </c>
      <c r="C1" s="26" t="s">
        <v>49</v>
      </c>
      <c r="D1" s="26" t="s">
        <v>50</v>
      </c>
      <c r="E1" s="26" t="s">
        <v>46</v>
      </c>
      <c r="F1" s="26" t="s">
        <v>39</v>
      </c>
      <c r="G1" s="26" t="s">
        <v>40</v>
      </c>
      <c r="H1" s="26" t="s">
        <v>41</v>
      </c>
      <c r="I1" s="24"/>
    </row>
    <row r="2" spans="1:9" s="7" customFormat="1" x14ac:dyDescent="0.4">
      <c r="A2" s="27">
        <v>46113</v>
      </c>
      <c r="B2" s="29" t="s">
        <v>48</v>
      </c>
      <c r="C2" s="29">
        <v>15</v>
      </c>
      <c r="D2" s="29">
        <v>0.76</v>
      </c>
      <c r="E2" s="29">
        <v>88730</v>
      </c>
      <c r="F2" s="28">
        <v>71402</v>
      </c>
      <c r="G2" s="28">
        <v>17328</v>
      </c>
      <c r="H2" s="28">
        <v>0</v>
      </c>
    </row>
    <row r="3" spans="1:9" s="7" customFormat="1" x14ac:dyDescent="0.4">
      <c r="A3" s="27">
        <v>46143</v>
      </c>
      <c r="B3" s="29" t="s">
        <v>48</v>
      </c>
      <c r="C3" s="29">
        <v>16</v>
      </c>
      <c r="D3" s="29">
        <v>0.76</v>
      </c>
      <c r="E3" s="29">
        <v>77083.19</v>
      </c>
      <c r="F3" s="28">
        <v>77083.19</v>
      </c>
      <c r="G3" s="28">
        <v>0</v>
      </c>
      <c r="H3" s="28">
        <v>0</v>
      </c>
    </row>
    <row r="4" spans="1:9" s="7" customFormat="1" x14ac:dyDescent="0.4">
      <c r="A4" s="27">
        <v>46174</v>
      </c>
      <c r="B4" s="29" t="s">
        <v>48</v>
      </c>
      <c r="C4" s="29">
        <v>16</v>
      </c>
      <c r="D4" s="29">
        <v>0.76</v>
      </c>
      <c r="E4" s="29">
        <v>97143.39</v>
      </c>
      <c r="F4" s="28">
        <v>97143.39</v>
      </c>
      <c r="G4" s="28">
        <v>0</v>
      </c>
      <c r="H4" s="28">
        <v>0</v>
      </c>
    </row>
    <row r="5" spans="1:9" s="7" customFormat="1" x14ac:dyDescent="0.4">
      <c r="A5" s="27">
        <v>46204</v>
      </c>
      <c r="B5" s="29" t="s">
        <v>48</v>
      </c>
      <c r="C5" s="29">
        <v>16</v>
      </c>
      <c r="D5" s="29">
        <v>0.76</v>
      </c>
      <c r="E5" s="29">
        <v>160783.19586666665</v>
      </c>
      <c r="F5" s="28">
        <v>135348.52919999999</v>
      </c>
      <c r="G5" s="28">
        <v>25434.666666666664</v>
      </c>
      <c r="H5" s="28">
        <v>0</v>
      </c>
    </row>
    <row r="6" spans="1:9" s="7" customFormat="1" x14ac:dyDescent="0.4">
      <c r="A6" s="27">
        <v>46235</v>
      </c>
      <c r="B6" s="29" t="s">
        <v>48</v>
      </c>
      <c r="C6" s="29">
        <v>16</v>
      </c>
      <c r="D6" s="29">
        <v>0.76</v>
      </c>
      <c r="E6" s="29">
        <v>117489.54000000001</v>
      </c>
      <c r="F6" s="28">
        <v>117489.54000000001</v>
      </c>
      <c r="G6" s="28">
        <v>0</v>
      </c>
      <c r="H6" s="28">
        <v>0</v>
      </c>
    </row>
    <row r="7" spans="1:9" s="7" customFormat="1" x14ac:dyDescent="0.4">
      <c r="A7" s="27">
        <v>46266</v>
      </c>
      <c r="B7" s="29" t="s">
        <v>48</v>
      </c>
      <c r="C7" s="29">
        <v>16</v>
      </c>
      <c r="D7" s="29">
        <v>0.76</v>
      </c>
      <c r="E7" s="29">
        <v>117489.54000000001</v>
      </c>
      <c r="F7" s="28">
        <v>117489.54000000001</v>
      </c>
      <c r="G7" s="28">
        <v>0</v>
      </c>
      <c r="H7" s="28">
        <v>0</v>
      </c>
    </row>
    <row r="8" spans="1:9" s="7" customFormat="1" x14ac:dyDescent="0.4">
      <c r="A8" s="27">
        <v>46296</v>
      </c>
      <c r="B8" s="29" t="s">
        <v>48</v>
      </c>
      <c r="C8" s="29">
        <v>16</v>
      </c>
      <c r="D8" s="29">
        <v>0.76</v>
      </c>
      <c r="E8" s="29">
        <v>196790.98</v>
      </c>
      <c r="F8" s="28">
        <v>151494.98000000001</v>
      </c>
      <c r="G8" s="28">
        <v>45296</v>
      </c>
      <c r="H8" s="28">
        <v>0</v>
      </c>
    </row>
    <row r="9" spans="1:9" s="7" customFormat="1" x14ac:dyDescent="0.4">
      <c r="A9" s="27">
        <v>46327</v>
      </c>
      <c r="B9" s="29" t="s">
        <v>48</v>
      </c>
      <c r="C9" s="29">
        <v>16</v>
      </c>
      <c r="D9" s="29">
        <v>0.76</v>
      </c>
      <c r="E9" s="29">
        <v>117489.54000000001</v>
      </c>
      <c r="F9" s="28">
        <v>117489.54000000001</v>
      </c>
      <c r="G9" s="28">
        <v>0</v>
      </c>
      <c r="H9" s="28">
        <v>0</v>
      </c>
    </row>
    <row r="10" spans="1:9" s="7" customFormat="1" x14ac:dyDescent="0.4">
      <c r="A10" s="27">
        <v>46357</v>
      </c>
      <c r="B10" s="29" t="s">
        <v>48</v>
      </c>
      <c r="C10" s="29">
        <v>16</v>
      </c>
      <c r="D10" s="29">
        <v>0.76</v>
      </c>
      <c r="E10" s="29">
        <v>230789.54</v>
      </c>
      <c r="F10" s="28">
        <v>117489.54000000001</v>
      </c>
      <c r="G10" s="28">
        <v>113300</v>
      </c>
      <c r="H10" s="28">
        <v>0</v>
      </c>
    </row>
  </sheetData>
  <autoFilter ref="A1:I1" xr:uid="{5C851A5A-4988-4136-A772-A5A298B1C85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 </vt:lpstr>
      <vt:lpstr>明细</vt:lpstr>
      <vt:lpstr>预测明细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陈天如</dc:creator>
  <cp:lastModifiedBy>陈天如</cp:lastModifiedBy>
  <dcterms:created xsi:type="dcterms:W3CDTF">2026-04-27T08:44:27Z</dcterms:created>
  <dcterms:modified xsi:type="dcterms:W3CDTF">2026-05-01T07:55:42Z</dcterms:modified>
</cp:coreProperties>
</file>